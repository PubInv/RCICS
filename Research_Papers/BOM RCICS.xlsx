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AUGUST" sheetId="1" r:id="rId4"/>
    <sheet state="visible" name="BOM SEPTEMBER" sheetId="2" r:id="rId5"/>
    <sheet state="visible" name="©" sheetId="3" r:id="rId6"/>
  </sheets>
  <definedNames>
    <definedName localSheetId="1" name="valuevx42">'BOM SEPTEMBER'!$E$3</definedName>
    <definedName name="partID">#REF!</definedName>
    <definedName name="partlist">#REF!</definedName>
    <definedName name="valuevx42">'BOM AUGUST'!$E$3</definedName>
    <definedName name="VALUEVX">LAMBDA(42.314159)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I don't think these are big enough.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I don't think these are big enough.</t>
      </text>
    </comment>
  </commentList>
</comments>
</file>

<file path=xl/sharedStrings.xml><?xml version="1.0" encoding="utf-8"?>
<sst xmlns="http://schemas.openxmlformats.org/spreadsheetml/2006/main" count="88" uniqueCount="45">
  <si>
    <t>Bill of Materials Template</t>
  </si>
  <si>
    <t>By Vertex42.com</t>
  </si>
  <si>
    <t>https://www.vertex42.com/ExcelTemplates/bill-of-materials.html</t>
  </si>
  <si>
    <t>© 2012-2019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</si>
  <si>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</si>
  <si>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</si>
  <si>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</si>
  <si>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</si>
  <si>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</si>
  <si>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Bill of Materials</t>
  </si>
  <si>
    <t>Do not delete this worksheet.</t>
  </si>
  <si>
    <t>Assembly Name: Rapid Contact Isolation Containment System (RCICS)</t>
  </si>
  <si>
    <t>[42]</t>
  </si>
  <si>
    <t>Name</t>
  </si>
  <si>
    <t>Link</t>
  </si>
  <si>
    <t>Color</t>
  </si>
  <si>
    <t>Qty</t>
  </si>
  <si>
    <t>Picture</t>
  </si>
  <si>
    <t>Cost</t>
  </si>
  <si>
    <t>Total Cost = Cost * Qty</t>
  </si>
  <si>
    <t>Comments</t>
  </si>
  <si>
    <t>Door</t>
  </si>
  <si>
    <t>https://www.amazon.ae/SILTOX-Wooden-Interior-Door-200cm/dp/B0GNGJKW6G/ref=asc_df_B0GNGJKW6G?mcid=6bb385e861693232b52997da948abe87&amp;tag=googleshopp09-21&amp;linkCode=df0&amp;hvadid=784712972046&amp;hvpos=&amp;hvnetw=g&amp;hvrand=9582207464127468448&amp;hvpone=&amp;hvptwo=&amp;hvqmt=&amp;hvdev=c&amp;hvdvcmdl=&amp;hvlocint=&amp;hvlocphy=9217493&amp;hvtargid=pla-2473090508861&amp;hvocijid=9582207464127468448-B0GNGJKW6G-&amp;hvexpln=0&amp;th=1</t>
  </si>
  <si>
    <t>Brown</t>
  </si>
  <si>
    <t>Polyethylene Sheet</t>
  </si>
  <si>
    <t>https://ibeam.ae/product/polyethylene-sheet/</t>
  </si>
  <si>
    <t xml:space="preserve">Semi-Transperent </t>
  </si>
  <si>
    <t>4" PVC tubing</t>
  </si>
  <si>
    <t>https://www.fepy.com/upvc-pipe-uv-resistance-and-noise-reduction-3-inch-x-4-mtr-2?gad_source=1&amp;gad_campaignid=23998586114&amp;gbraid=0AAAAApKxggsWqBmbX-R0PWPWGe3fSz_im</t>
  </si>
  <si>
    <t>Black</t>
  </si>
  <si>
    <t>Van stone flange</t>
  </si>
  <si>
    <t>https://www.google.com/search?sca_esv=1f9121a7cdf920c7&amp;sxsrf=APpeQntffIfV5YEKmIUq9CBByna33KWvgw:1789021541050&amp;udm=28&amp;fbs=ABfTbFVyMZGZf1hfvX9uKjN_-G8cqCQj_06QnZs315LoFmPf5bBLHMJ0vMQmTbuI72DM7jmWJFBVVBK15iI7JoQNn0XjQEbkOD52qIEbzukALtN40htk47eakE3WSCiExlKRhRvkklxc9pjdae8k7LAol92hwBOZg0ZKpbnpAQ3206VK18yeasc-GT5tMAa3nIn6wDM7AhVbeOxxiKCMH2earfSWarbocg&amp;q=Van+stone+flange&amp;ved=1t:220175&amp;ictx=111&amp;biw=1396&amp;bih=632&amp;dpr=1.38#sv=CAYS8BYSABosMmFoVUtFd2ktMmIzUXNPT1dBeFY5VmZFREhlQ0NGZEFRZ2kxNkJBZ1pFQ2ciihYKEzMzMTE2MjA0MzA0MjYwOTEzMDQSFDEwMTQ4NDIxOTUwMTEwNDE1ODg3GhM4NTMwMDAwNzg1MzI1NDI4NDcxIhMyMTYwNTI5NzEyNzAzMTMzNTY5KroPQ2kxSFpXOXlaeUJHYVhOamFHVnlJRlpoYmkxemRHOXVaU0JHYkdGdVoyVWdVMjlqYTJWMElGQjJZeUE0TlRRYUVVZEdJRkJwY0dsdVp5QlRlWE4wWlcxeklsUUlDaEVBQUFDZ21aa1RRQm9DTVRBaUNqRXdJSEpsZG1sbGQzTXFNbEJEWHprME9UZ3hPVEl3T0RFek1Ea3pPRFF4T1RsOFVGSlBSRjlRUTE4NU5EazRNVGt5TURneE16QTVNemcwTVRrNU1nTTBMamxpbXdZS0V6TXpNVEUyTWpBME16QTBNall3T1RFek1EUVNGREV3TVRRNE5ESXhPVFV3TVRFd05ERTFPRGczR2hNNE5UTXdNREF3TnpnMU16STFOREk0TkRjeEloTXlNVFl3TlRJNU56RXlOekF6TVRNek5UWTVNaE01TkRrNE1Ua3lNRGd4TXpBNU16ZzBNVGs1T2hJMU56WTBOakk0T1RZMk1qY3pPVEk0TWpKS0FtaG5VakpRUTE4NU5EazRNVGt5TURneE16QTVNemcwTVRrNWZGQlNUMFJmVUVOZk9UUTVPREU1TWpBNE1UTXdPVE00TkRFNU9hQUJBNElDRkRFME9UUTRPVGN6TXpZMk9EVTBNVEl6TURVMjJnS1VCRVZ2ZDBSRGMzZERVVlZ3Y0ZaRVVqQlRWRWw2VVZaU2NsSkhjRmhWTURFMlpFUlplbE50ZUhKV01GcFdZVzFvZDFsWFNsbGtNVkkyVkVaT2VXTkZOSGhhUmxsNlRUQm9iVmRIZUZoTk1tZDZWVWMxUm1KclpFeGlNMlJyWlZkRmVWSkhjRXBaVlhOM1ZHdGFURTVYV1RCaVYwcFFWbGh3YlZkWVZUQlRTR2N6Vld0YVZrMUZUa05XYlUwMVV6QmtWV1ZGYkhOVlNIQlZWbTF2ZUZsVVVrcFhibHBFVTFoR2RGWjZXbUZoYTFwd1dXeHdhRlpGTlZWalZUVk5ZVmRzTlZwcmVISmlNV3hwVmpJMWFWVnFaR2hXUlZWNFpHMTNkRk51UmpSYVZscFFXREU1U0dOWGFFaFNiRGx2VkcxT1YyRnVSalJpU0ZWMFYxVTViMDlFVmxSV01qbElZMWhrVWs0eFFtWmlSbVI0WW1wcmVVMXJiR0ZSTUhkNFYxaEdVMkpWU2tWVlJWRXpWRmhHYVU1WWJGcFRSbWhUWlZaT1ExUlVSWHBoYTJNMVVsZE9NbEpHYUdaaVZrSlJWVVZLZUZwR1FYZFNSM2hvWkRKd2ExbFhVVEJUTVVveVpEQnZNRmxxYUhSaGFrWjFUVEZWZDJWcVNuaE9ia1pRVkhwc05XUXdVbE5OTUhSRVZXNVNkazFYV1hoWU1VcHFVbGRXVUUweWFESk5hbVJ5WXpGb1ZGUnNPVFZhYkZwRVQwaEtVbEpZYXpWaFZUbE5VVEJ3YUZWV1ZqVmhNREJUUmpKSmQwMXRiR2hrYW1SelVsZFplV05ZYUdwUFJrRXdVMVpvV0Zvd1JYZEhhVXBDVWtoT2VVOVhXbFJWUldnelZFaEtjMDVFYkZsWldFNU1VbXhrUjFaRlNtNVVWMFl6V2tWV2RscHFValBpQWpCQlJqVjBVMDgxT1UxalRqbEpNbGxJYlUxMlUyc3dXa0U1WnkxWFVIWnVhbEZST2pFM09Ea3dNakUxTlRFM056R2FBUUpvWl9nQnJBS0FBZ0NRQWdHYUF2Y0JDcTRCYUhSMGNITTZMeTlsYm1OeWVYQjBaV1F0ZEdKdU1DNW5jM1JoZEdsakxtTnZiUzl6YUc5d2NHbHVaejl4UFhSaWJqcEJUbVE1UjJOU1JtaERZemxKWVhWNlJrbzRXbFJ5TjBsdE1tbHliMWg1VTNFMWJrRkVTRXhoYzFKU2N6SjZjekZUY3padk5ERTNXVWxaUmtsSE1HbG1OSEUyTlVSTWVuWjRiWGx6VERCeU9UZHlkM1JrTTBSSFREUndjVzVsYldsVFgzQXpZVVpuZVc5ZmJVcDVUV04yWm1vMGRtOHdaWE5GZFRORkVQMENHSkFESVAwQ0tKQURNZ1FJQUJnQU9pMUhaVzl5WnlCR2FYTmphR1Z5SUZaaGJpMXpkRzl1WlNCR2JHRnVaMlVnVTI5amEyVjBJRkIyWXlBNE5UUkFBWUFCQWJJQ2hBSUtfQUVLOXdFS3JnRm9kSFJ3Y3pvdkwyVnVZM0o1Y0hSbFpDMTBZbTR3TG1kemRHRjBhV011WTI5dEwzTm9iM0J3YVc1blAzRTlkR0p1T2tGT1pEbEhZMUpHYUVOak9VbGhkWHBHU2poYVZISTNTVzB5YVhKdldIbFRjVFZ1UVVSSVRHRnpVbEp6TW5wek1WTnpObTgwTVRkWlNWbEdTVWN3YVdZMGNUWTFSRXg2ZG5odGVYTk1NSEk1TjNKM2RHUXpSRWRNTkhCeGJtVnRhVk5mY0ROaFJtZDViMTl0U25sTlkzWm1halIyYnpCbGMwVjFNMFVRX1FJWWtBTWdfUUlva0FNeUJBZ0FHQUE2TFVkbGIzSm5JRVpwYzJOb1pYSWdWbUZ1TFhOMGIyNWxJRVpzWVc1blpTQlRiMk5yWlhRZ1VIWmpJRGcxTkVBQmdBRUJFQUFZckFJZ0FlZ0ZBQTITOTQ5ODE5MjA4MTMwOTM4NDE5OToSNTc2NDYyODk2NjI3MzkyODIySgJoZ1IyUENfOTQ5ODE5MjA4MTMwOTM4NDE5OXxQUk9EX1BDXzk0OTgxOTIwODEzMDkzODQxOTliAGoAigEAoAEDsAEAwgEAygEA2gEA6gEtR2VvcmcgRmlzY2hlciBWYW4tc3RvbmUgRmxhbmdlIFNvY2tldCBQdmMgODU0-gEAkgIA2gKUBEVvd0RDc3dDUVVwcFZEUjBTa1JuWlRaV2JtUmxVMEl5VW5SQlUyWnVOMFZ4T1VSYWJHbFRlbTFrUlhwa1ZXcHdjR1oyY1ZsUGQzQnFaMHM1ZFhGU1lVZExYMnRVYjBscVIyMDVWVmxuTVRKTWNVUkVjbVJKWjFkZlVESnVNVTAzY1hsS2FrRXdUa2xVTkdwTGRXUnVTRVpoWlY5R1NpMXNVa3gyUkRkWVZXNTFTVUYxVlU5dVdtNWZVM1psYUUxTlMwZEZaVkJTZWpaMFVtd3dOVGhVTm5FeFIxcDZTREV4ZFdWalltdHNOazVZV0hSbGVXbHhUWFpyZFhOTFFrVlBNR1Y1YzB0U2RWbzNkRzl5WW1oaVNWVk5jMmhrVDBoa1NVcHRXRGRGVEZocGRqUndRVFZJVldrM1UyRnlSV3hyYmtsMWF6Wk5WVkpoYzNWVVdrczBYMHN0VUhWc2FXZzFkakpYVFd4TmMybGxTbkJvWlhoclpUZElUR2R5WVV0RVQyVm1kbTlmWlhKaFpIZDRPR1o0VDJGQlUzRTVORVo0T0c5SGVqZFVNMHRIY1ZNdFFtNVJSM0EwUVVkYU1GcEdWVmdTRjJJd01tbGhkamRzUldZeWNYaGpPRkEwU1ZoWFowRXdHaUpCUkhOeU9XWlRSVmxRY2tVNFpYTjBkbEJwVjBoVmJVZFBaVTV6WjJKdk5taFLiAjBBRjV0U082bVFBYzFlQkxmRENsMHN1b2FweGJuNk81RGhROjE3ODkwMjE1NTE3NzAwAEItMmFoVUtFd2ktMmIzUXNPT1dBeFY5VmZFREhlQ0NGZEFRcm9nR2VnUUlHUkFTSAAghe3DkARKCBACGAEgASgB</t>
  </si>
  <si>
    <t>Aluminum L-shaped beam</t>
  </si>
  <si>
    <t>https://www.thomann.ae/adam_hall_6105.htm?glp=1&amp;gad_source=1&amp;gad_campaignid=1566870192&amp;gbraid=0AAAAADuDMCUQhtjD_OO3cRNy5vBewEVil&amp;gclid=Cj0KCQjwh4TVBhCWARIsAG0czmotTcyiIdD6ALbBu6aZg1VMtmHnBuoSA8aJkxdYMcuEqot0gmgo1IIaAub0EALw_wcB</t>
  </si>
  <si>
    <t>Gray</t>
  </si>
  <si>
    <t>Metal retaining wires</t>
  </si>
  <si>
    <t>https://www.thomann.ae/reutlinger_steel_wire_150cm_15mm_loop.htm?glp=1&amp;gad_source=1&amp;gad_campaignid=1566870207&amp;gbraid=0AAAAADuDMCVTdilokLv1UP1sX2HOXmx6h&amp;gclid=Cj0KCQjwh4TVBhCWARIsAG0czmo0atjMKz-iVh4EMCsjHf3YpUIOjmsy6B-66rYDxGVa1slqNgBH4cAaAu3iEALw_wcB</t>
  </si>
  <si>
    <t>L-shaped metal bracket</t>
  </si>
  <si>
    <t>https://www.thomann.ae/adam_hall_40402_l_corner_25_x_37.htm?glp=1&amp;gad_source=1&amp;gad_campaignid=1566870192&amp;gbraid=0AAAAADuDMCUQhtjD_OO3cRNy5vBewEVil&amp;gclid=Cj0KCQjwh4TVBhCWARIsAG0czmp15BedIsLdsMvoxG0yilJ9FoDYZxN80PlCyHYXecnefDDqF3OYciYaAuByEALw_wcB</t>
  </si>
  <si>
    <t>Gasket</t>
  </si>
  <si>
    <t>https://www.noon.com/uae-en/knp-rubber-gasket-seal-4-inch-is-a-high-quality-sealing-component-designed-to-provide-a-secure-leak-proof-seal-for-various-applications/Z12777AB0B81DD0CB41C7Z/p/?o=z12777ab0b81dd0cb41c7z-1</t>
  </si>
  <si>
    <t>Flange</t>
  </si>
  <si>
    <t>https://www.temu.com/ul/kuiper/un9.html?subj=goods-un&amp;_bg_fs=1&amp;_p_jump_id=894&amp;_x_vst_scene=adg&amp;goods_id=601100676184681&amp;sku_id=17596813143748&amp;adg_ctx=a-6caeb9f4~c-6fbdfb93~fdf7acd02&amp;_x_ads_sub_channel=shopping&amp;_p_rfs=1&amp;_x_ns_prz_type=-1&amp;_x_ns_sku_id=17596813143748&amp;_x_ns_gid=601100676184681&amp;mrk_rec=1&amp;_x_ads_channel=google&amp;_x_gmc_account=5088609362&amp;_x_login_type=Google&amp;_x_ns_gg_lnk_type=adr&amp;_x_ads_account=7913872652&amp;_x_ads_set=21148025498&amp;_x_ads_id=160091651029&amp;_x_ads_creative_id=695267058945&amp;_x_ns_source=g&amp;_x_ns_gclid=Cj0KCQjwh4TVBhCWARIsAG0czmqO4LT1OYw5lsiXBTlO6Mx70hBVONb2HO0ULOSrVRtla4YqpfsEruIaAlpqEALw_wcB&amp;_x_ns_placement=&amp;_x_ns_match_type=&amp;_x_ns_ad_position=&amp;_x_ns_product_id=5088609362-en-17596813143748&amp;_x_ns_target=&amp;_x_ns_devicemodel=&amp;_x_ns_wbraid=CkEKCQjwh4TVBhCyARIwAA9iaNcxYYk8_g9Forv62FIt8YHDwRGFdeDf0IggRd9xhyZLGqCYbqhOp_wewSgFGgJJwA&amp;_x_ns_gbraid=0AAAAAo4mICEs75yBq1oRmM-9wC72QJiVc&amp;_x_ns_targetid=pla-2087129004693&amp;gad_source=1&amp;gad_campaignid=21148025498&amp;gbraid=0AAAAAo4mICEs75yBq1oRmM-9wC72QJiVc&amp;gclid=Cj0KCQjwh4TVBhCWARIsAG0czmqO4LT1OYw5lsiXBTlO6Mx70hBVONb2HO0ULOSrVRtla4YqpfsEruIaAlpqEALw_wcB&amp;is_back=1</t>
  </si>
  <si>
    <t>Stainless Steel - Gray</t>
  </si>
  <si>
    <t>1" PVC, 4" and 1" caps, strain relief mechanism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</si>
</sst>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6">
    <font>
      <sz val="11.0"/>
      <color rgb="FF000000"/>
      <name val="Arial"/>
    </font>
    <font>
      <b/>
      <sz val="18.0"/>
      <color rgb="FFFFFFFF"/>
      <name val="Arial"/>
    </font>
    <font>
      <sz val="10.0"/>
      <name val="Arial"/>
    </font>
    <font>
      <sz val="12.0"/>
      <name val="Arial"/>
    </font>
    <font>
      <sz val="11.0"/>
      <name val="Arial"/>
    </font>
    <font>
      <u/>
      <sz val="10.0"/>
      <color rgb="FF0000FF"/>
      <name val="Arial"/>
    </font>
    <font>
      <b/>
      <sz val="12.0"/>
      <name val="Arial"/>
    </font>
    <font>
      <u/>
      <sz val="12.0"/>
      <color rgb="FF0000FF"/>
      <name val="Arial"/>
    </font>
    <font>
      <b/>
      <sz val="10.0"/>
      <color rgb="FF2B4575"/>
      <name val="Calibri"/>
    </font>
    <font>
      <sz val="10.0"/>
      <name val="Calibri"/>
    </font>
    <font>
      <b/>
      <sz val="10.0"/>
      <color rgb="FF273359"/>
      <name val="Calibri"/>
    </font>
    <font>
      <sz val="10.0"/>
      <color rgb="FFFFFFFF"/>
      <name val="Calibri"/>
    </font>
    <font>
      <b/>
      <sz val="10.0"/>
      <color rgb="FFFFFFFF"/>
      <name val="Calibri"/>
    </font>
    <font>
      <u/>
      <sz val="10.0"/>
      <color rgb="FF0000FF"/>
      <name val="Calibri"/>
    </font>
    <font>
      <b/>
      <sz val="12.0"/>
      <color rgb="FFFF0000"/>
      <name val="Calibri"/>
    </font>
    <font>
      <b/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">
    <border/>
    <border>
      <bottom style="hair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0"/>
    </xf>
    <xf borderId="0" fillId="0" fontId="8" numFmtId="0" xfId="0" applyAlignment="1" applyFont="1">
      <alignment horizontal="left" readingOrder="0" vertical="center"/>
    </xf>
    <xf borderId="0" fillId="0" fontId="9" numFmtId="0" xfId="0" applyFont="1"/>
    <xf borderId="0" fillId="0" fontId="9" numFmtId="0" xfId="0" applyFont="1"/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readingOrder="0"/>
    </xf>
    <xf borderId="1" fillId="0" fontId="9" numFmtId="0" xfId="0" applyAlignment="1" applyBorder="1" applyFont="1">
      <alignment horizontal="right"/>
    </xf>
    <xf borderId="1" fillId="0" fontId="9" numFmtId="0" xfId="0" applyAlignment="1" applyBorder="1" applyFont="1">
      <alignment horizontal="left"/>
    </xf>
    <xf borderId="0" fillId="0" fontId="11" numFmtId="0" xfId="0" applyAlignment="1" applyFont="1">
      <alignment horizontal="right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2" fillId="3" fontId="9" numFmtId="0" xfId="0" applyAlignment="1" applyBorder="1" applyFill="1" applyFont="1">
      <alignment readingOrder="0" shrinkToFit="0" vertical="top" wrapText="1"/>
    </xf>
    <xf borderId="2" fillId="3" fontId="13" numFmtId="0" xfId="0" applyAlignment="1" applyBorder="1" applyFill="1" applyFont="1">
      <alignment readingOrder="0" shrinkToFit="0" vertical="top" wrapText="1"/>
    </xf>
    <xf borderId="2" fillId="4" fontId="9" numFmtId="0" xfId="0" applyAlignment="1" applyBorder="1" applyFill="1" applyFont="1">
      <alignment horizontal="center" vertical="top"/>
    </xf>
    <xf borderId="2" fillId="3" fontId="9" numFmtId="0" xfId="0" applyBorder="1" applyFill="1" applyFont="1"/>
    <xf borderId="2" fillId="3" fontId="9" numFmtId="164" xfId="0" applyAlignment="1" applyBorder="1" applyFill="1" applyFont="1" applyNumberFormat="1">
      <alignment readingOrder="0" vertical="top"/>
    </xf>
    <xf borderId="0" fillId="3" fontId="9" numFmtId="164" xfId="0" applyAlignment="1" applyFill="1" applyFont="1" applyNumberFormat="1">
      <alignment readingOrder="0" vertical="top"/>
    </xf>
    <xf borderId="2" fillId="4" fontId="9" numFmtId="0" xfId="0" applyAlignment="1" applyBorder="1" applyFill="1" applyFont="1">
      <alignment horizontal="center" readingOrder="0" vertical="top"/>
    </xf>
    <xf borderId="2" fillId="3" fontId="9" numFmtId="0" xfId="0" applyAlignment="1" applyBorder="1" applyFill="1" applyFont="1">
      <alignment readingOrder="0"/>
    </xf>
    <xf borderId="0" fillId="3" fontId="9" numFmtId="0" xfId="0" applyAlignment="1" applyFill="1" applyFont="1">
      <alignment shrinkToFit="0" vertical="top" wrapText="1"/>
    </xf>
    <xf borderId="0" fillId="4" fontId="9" numFmtId="0" xfId="0" applyAlignment="1" applyFill="1" applyFont="1">
      <alignment horizontal="center" vertical="top"/>
    </xf>
    <xf borderId="0" fillId="3" fontId="9" numFmtId="0" xfId="0" applyFill="1" applyFont="1"/>
    <xf borderId="0" fillId="3" fontId="9" numFmtId="164" xfId="0" applyAlignment="1" applyFill="1" applyFont="1" applyNumberFormat="1">
      <alignment vertical="top"/>
    </xf>
    <xf borderId="0" fillId="5" fontId="14" numFmtId="0" xfId="0" applyAlignment="1" applyFill="1" applyFont="1">
      <alignment readingOrder="0" vertical="center"/>
    </xf>
    <xf borderId="0" fillId="5" fontId="15" numFmtId="0" xfId="0" applyAlignment="1" applyFill="1" applyFont="1">
      <alignment vertical="center"/>
    </xf>
    <xf borderId="0" fillId="5" fontId="15" numFmtId="0" xfId="0" applyAlignment="1" applyFill="1" applyFont="1">
      <alignment horizontal="right" readingOrder="0" vertical="center"/>
    </xf>
    <xf borderId="0" fillId="5" fontId="15" numFmtId="0" xfId="0" applyAlignment="1" applyFill="1" applyFont="1">
      <alignment horizontal="center" readingOrder="0" vertical="center"/>
    </xf>
    <xf borderId="0" fillId="5" fontId="9" numFmtId="164" xfId="0" applyAlignment="1" applyFill="1" applyFont="1" applyNumberFormat="1">
      <alignment horizontal="right" readingOrder="0" vertical="center"/>
    </xf>
    <xf borderId="0" fillId="5" fontId="9" numFmtId="164" xfId="0" applyAlignment="1" applyFill="1" applyFont="1" applyNumberFormat="1">
      <alignment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A5D9C"/>
          <bgColor rgb="FF3A5D9C"/>
        </patternFill>
      </fill>
      <border/>
    </dxf>
    <dxf>
      <font/>
      <fill>
        <patternFill patternType="solid">
          <fgColor rgb="FFD3DDEE"/>
          <bgColor rgb="FFD3DDE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BOM AUGUST-style">
      <tableStyleElement dxfId="1" type="headerRow"/>
      <tableStyleElement dxfId="2" type="firstRowStripe"/>
      <tableStyleElement dxfId="2" type="secondRowStripe"/>
      <tableStyleElement dxfId="3" type="totalRow"/>
    </tableStyle>
    <tableStyle count="4" pivot="0" name="BOM SEPTEMBER-style">
      <tableStyleElement dxfId="1" type="headerRow"/>
      <tableStyleElement dxfId="2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image" Target="../media/image10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image" Target="../media/image10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304800" cy="6286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600075" cy="6286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742950" cy="6286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657225" cy="6286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895350" cy="6286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962025" cy="6286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590550" cy="6286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619125" cy="6286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095375" cy="6286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304800" cy="6286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600075" cy="6286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742950" cy="6286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657225" cy="6286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895350" cy="6286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962025" cy="6286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590550" cy="6286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619125" cy="6286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095375" cy="6286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13347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3:H14" displayName="Table_1" name="Table_1" id="1">
  <tableColumns count="8">
    <tableColumn totalsRowLabel="1&quot; PVC, 4&quot; and 1&quot; caps, strain relief mechanism" name="Name" id="1"/>
    <tableColumn name="Link" id="2"/>
    <tableColumn name="Color" id="3"/>
    <tableColumn totalsRowFunction="custom" name="Qty" id="4"/>
    <tableColumn name="Picture" id="5"/>
    <tableColumn totalsRowFunction="custom" name="Cost" id="6"/>
    <tableColumn totalsRowFunction="custom" name="Total Cost = Cost * Qty" id="7"/>
    <tableColumn name="Comments" id="8"/>
  </tableColumns>
  <tableStyleInfo name="BOM AUGUST-style" showColumnStripes="0" showFirstColumn="1" showLastColumn="1" showRowStripes="1"/>
</table>
</file>

<file path=xl/tables/table2.xml><?xml version="1.0" encoding="utf-8"?>
<table xmlns="http://schemas.openxmlformats.org/spreadsheetml/2006/main" totalsRowCount="1" ref="A3:H14" displayName="Table_2" name="Table_2" id="2">
  <tableColumns count="8">
    <tableColumn totalsRowLabel="1&quot; PVC, 4&quot; and 1&quot; caps, strain relief mechanism" name="Name" id="1"/>
    <tableColumn name="Link" id="2"/>
    <tableColumn name="Color" id="3"/>
    <tableColumn totalsRowFunction="custom" name="Qty" id="4"/>
    <tableColumn name="Picture" id="5"/>
    <tableColumn totalsRowFunction="custom" name="Cost" id="6"/>
    <tableColumn totalsRowFunction="custom" name="Total Cost = Cost * Qty" id="7"/>
    <tableColumn name="Comments" id="8"/>
  </tableColumns>
  <tableStyleInfo name="BOM SEPTEMBE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amazon.ae/SILTOX-Wooden-Interior-Door-200cm/dp/B0GNGJKW6G/ref=asc_df_B0GNGJKW6G?mcid=6bb385e861693232b52997da948abe87&amp;tag=googleshopp09-21&amp;linkCode=df0&amp;hvadid=784712972046&amp;hvpos=&amp;hvnetw=g&amp;hvrand=9582207464127468448&amp;hvpone=&amp;hvptwo=&amp;hvqmt=&amp;hvdev=c&amp;hvdvcmdl=&amp;hvlocint=&amp;hvlocphy=9217493&amp;hvtargid=pla-2473090508861&amp;hvocijid=9582207464127468448-B0GNGJKW6G-&amp;hvexpln=0&amp;th=1" TargetMode="External"/><Relationship Id="rId3" Type="http://schemas.openxmlformats.org/officeDocument/2006/relationships/hyperlink" Target="https://ibeam.ae/product/polyethylene-sheet/" TargetMode="External"/><Relationship Id="rId4" Type="http://schemas.openxmlformats.org/officeDocument/2006/relationships/hyperlink" Target="https://www.fepy.com/upvc-pipe-uv-resistance-and-noise-reduction-3-inch-x-4-mtr-2?gad_source=1&amp;gad_campaignid=23998586114&amp;gbraid=0AAAAApKxggsWqBmbX-R0PWPWGe3fSz_im" TargetMode="External"/><Relationship Id="rId10" Type="http://schemas.openxmlformats.org/officeDocument/2006/relationships/vmlDrawing" Target="../drawings/vmlDrawing1.vml"/><Relationship Id="rId12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thomann.ae/adam_hall_6105.htm?glp=1&amp;gad_source=1&amp;gad_campaignid=1566870192&amp;gbraid=0AAAAADuDMCUQhtjD_OO3cRNy5vBewEVil&amp;gclid=Cj0KCQjwh4TVBhCWARIsAG0czmotTcyiIdD6ALbBu6aZg1VMtmHnBuoSA8aJkxdYMcuEqot0gmgo1IIaAub0EALw_wcB" TargetMode="External"/><Relationship Id="rId6" Type="http://schemas.openxmlformats.org/officeDocument/2006/relationships/hyperlink" Target="https://www.thomann.ae/reutlinger_steel_wire_150cm_15mm_loop.htm?glp=1&amp;gad_source=1&amp;gad_campaignid=1566870207&amp;gbraid=0AAAAADuDMCVTdilokLv1UP1sX2HOXmx6h&amp;gclid=Cj0KCQjwh4TVBhCWARIsAG0czmo0atjMKz-iVh4EMCsjHf3YpUIOjmsy6B-66rYDxGVa1slqNgBH4cAaAu3iEALw_wcB" TargetMode="External"/><Relationship Id="rId7" Type="http://schemas.openxmlformats.org/officeDocument/2006/relationships/hyperlink" Target="https://www.thomann.ae/adam_hall_40402_l_corner_25_x_37.htm?glp=1&amp;gad_source=1&amp;gad_campaignid=1566870192&amp;gbraid=0AAAAADuDMCUQhtjD_OO3cRNy5vBewEVil&amp;gclid=Cj0KCQjwh4TVBhCWARIsAG0czmp15BedIsLdsMvoxG0yilJ9FoDYZxN80PlCyHYXecnefDDqF3OYciYaAuByEALw_wcB" TargetMode="External"/><Relationship Id="rId8" Type="http://schemas.openxmlformats.org/officeDocument/2006/relationships/hyperlink" Target="https://www.noon.com/uae-en/knp-rubber-gasket-seal-4-inch-is-a-high-quality-sealing-component-designed-to-provide-a-secure-leak-proof-seal-for-various-applications/Z12777AB0B81DD0CB41C7Z/p/?o=z12777ab0b81dd0cb41c7z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amazon.ae/SILTOX-Wooden-Interior-Door-200cm/dp/B0GNGJKW6G/ref=asc_df_B0GNGJKW6G?mcid=6bb385e861693232b52997da948abe87&amp;tag=googleshopp09-21&amp;linkCode=df0&amp;hvadid=784712972046&amp;hvpos=&amp;hvnetw=g&amp;hvrand=9582207464127468448&amp;hvpone=&amp;hvptwo=&amp;hvqmt=&amp;hvdev=c&amp;hvdvcmdl=&amp;hvlocint=&amp;hvlocphy=9217493&amp;hvtargid=pla-2473090508861&amp;hvocijid=9582207464127468448-B0GNGJKW6G-&amp;hvexpln=0&amp;th=1" TargetMode="External"/><Relationship Id="rId3" Type="http://schemas.openxmlformats.org/officeDocument/2006/relationships/hyperlink" Target="https://ibeam.ae/product/polyethylene-sheet/" TargetMode="External"/><Relationship Id="rId4" Type="http://schemas.openxmlformats.org/officeDocument/2006/relationships/hyperlink" Target="https://www.fepy.com/upvc-pipe-uv-resistance-and-noise-reduction-3-inch-x-4-mtr-2?gad_source=1&amp;gad_campaignid=23998586114&amp;gbraid=0AAAAApKxggsWqBmbX-R0PWPWGe3fSz_im" TargetMode="External"/><Relationship Id="rId10" Type="http://schemas.openxmlformats.org/officeDocument/2006/relationships/vmlDrawing" Target="../drawings/vmlDrawing2.vml"/><Relationship Id="rId12" Type="http://schemas.openxmlformats.org/officeDocument/2006/relationships/table" Target="../tables/table2.xml"/><Relationship Id="rId9" Type="http://schemas.openxmlformats.org/officeDocument/2006/relationships/drawing" Target="../drawings/drawing2.xml"/><Relationship Id="rId5" Type="http://schemas.openxmlformats.org/officeDocument/2006/relationships/hyperlink" Target="https://www.thomann.ae/adam_hall_6105.htm?glp=1&amp;gad_source=1&amp;gad_campaignid=1566870192&amp;gbraid=0AAAAADuDMCUQhtjD_OO3cRNy5vBewEVil&amp;gclid=Cj0KCQjwh4TVBhCWARIsAG0czmotTcyiIdD6ALbBu6aZg1VMtmHnBuoSA8aJkxdYMcuEqot0gmgo1IIaAub0EALw_wcB" TargetMode="External"/><Relationship Id="rId6" Type="http://schemas.openxmlformats.org/officeDocument/2006/relationships/hyperlink" Target="https://www.thomann.ae/reutlinger_steel_wire_150cm_15mm_loop.htm?glp=1&amp;gad_source=1&amp;gad_campaignid=1566870207&amp;gbraid=0AAAAADuDMCVTdilokLv1UP1sX2HOXmx6h&amp;gclid=Cj0KCQjwh4TVBhCWARIsAG0czmo0atjMKz-iVh4EMCsjHf3YpUIOjmsy6B-66rYDxGVa1slqNgBH4cAaAu3iEALw_wcB" TargetMode="External"/><Relationship Id="rId7" Type="http://schemas.openxmlformats.org/officeDocument/2006/relationships/hyperlink" Target="https://www.thomann.ae/adam_hall_40402_l_corner_25_x_37.htm?glp=1&amp;gad_source=1&amp;gad_campaignid=1566870192&amp;gbraid=0AAAAADuDMCUQhtjD_OO3cRNy5vBewEVil&amp;gclid=Cj0KCQjwh4TVBhCWARIsAG0czmp15BedIsLdsMvoxG0yilJ9FoDYZxN80PlCyHYXecnefDDqF3OYciYaAuByEALw_wcB" TargetMode="External"/><Relationship Id="rId8" Type="http://schemas.openxmlformats.org/officeDocument/2006/relationships/hyperlink" Target="https://www.noon.com/uae-en/knp-rubber-gasket-seal-4-inch-is-a-high-quality-sealing-component-designed-to-provide-a-secure-leak-proof-seal-for-various-applications/Z12777AB0B81DD0CB41C7Z/p/?o=z12777ab0b81dd0cb41c7z-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ertex42.com/ExcelTemplates/bill-of-materials.html" TargetMode="External"/><Relationship Id="rId2" Type="http://schemas.openxmlformats.org/officeDocument/2006/relationships/hyperlink" Target="https://www.vertex42.com/licensing/EULA_privateuse.htm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21.38"/>
    <col customWidth="1" min="3" max="3" width="20.25"/>
    <col customWidth="1" min="4" max="4" width="14.63"/>
    <col customWidth="1" min="5" max="5" width="14.5"/>
    <col customWidth="1" min="6" max="8" width="25.25"/>
  </cols>
  <sheetData>
    <row r="1" ht="27.0" customHeight="1">
      <c r="A1" s="12" t="s">
        <v>9</v>
      </c>
      <c r="B1" s="13"/>
      <c r="C1" s="14"/>
      <c r="D1" s="15"/>
      <c r="E1" s="15"/>
      <c r="F1" s="15"/>
      <c r="G1" s="15"/>
      <c r="H1" s="15"/>
    </row>
    <row r="2" ht="15.75" customHeight="1">
      <c r="A2" s="16" t="s">
        <v>11</v>
      </c>
      <c r="B2" s="14"/>
      <c r="C2" s="17"/>
      <c r="D2" s="18"/>
      <c r="E2" s="14"/>
      <c r="F2" s="19" t="s">
        <v>12</v>
      </c>
      <c r="G2" s="19"/>
      <c r="H2" s="19"/>
    </row>
    <row r="3" ht="19.5" customHeight="1">
      <c r="A3" s="20" t="s">
        <v>13</v>
      </c>
      <c r="B3" s="21" t="s">
        <v>14</v>
      </c>
      <c r="C3" s="22" t="s">
        <v>15</v>
      </c>
      <c r="D3" s="23" t="s">
        <v>16</v>
      </c>
      <c r="E3" s="23" t="s">
        <v>17</v>
      </c>
      <c r="F3" s="24" t="s">
        <v>18</v>
      </c>
      <c r="G3" s="24" t="s">
        <v>19</v>
      </c>
      <c r="H3" s="24" t="s">
        <v>20</v>
      </c>
    </row>
    <row r="4" ht="49.5" customHeight="1">
      <c r="A4" s="25" t="s">
        <v>21</v>
      </c>
      <c r="B4" s="26" t="s">
        <v>22</v>
      </c>
      <c r="C4" s="25" t="s">
        <v>23</v>
      </c>
      <c r="D4" s="27">
        <v>1.0</v>
      </c>
      <c r="E4" s="28"/>
      <c r="F4" s="29">
        <v>95.0</v>
      </c>
      <c r="G4" s="30">
        <f> F4*D4</f>
        <v>95</v>
      </c>
      <c r="H4" s="30"/>
    </row>
    <row r="5" ht="49.5" customHeight="1">
      <c r="A5" s="25" t="s">
        <v>24</v>
      </c>
      <c r="B5" s="26" t="s">
        <v>25</v>
      </c>
      <c r="C5" s="25" t="s">
        <v>26</v>
      </c>
      <c r="D5" s="27">
        <v>1.0</v>
      </c>
      <c r="E5" s="28"/>
      <c r="F5" s="29">
        <v>8.0</v>
      </c>
      <c r="G5" s="30">
        <f t="shared" ref="G5:G13" si="1">F5*D5</f>
        <v>8</v>
      </c>
      <c r="H5" s="30"/>
    </row>
    <row r="6" ht="49.5" customHeight="1">
      <c r="A6" s="25" t="s">
        <v>27</v>
      </c>
      <c r="B6" s="26" t="s">
        <v>28</v>
      </c>
      <c r="C6" s="25" t="s">
        <v>29</v>
      </c>
      <c r="D6" s="31">
        <v>1.0</v>
      </c>
      <c r="E6" s="28"/>
      <c r="F6" s="29">
        <v>11.0</v>
      </c>
      <c r="G6" s="30">
        <f t="shared" si="1"/>
        <v>11</v>
      </c>
      <c r="H6" s="30"/>
    </row>
    <row r="7" ht="49.5" customHeight="1">
      <c r="A7" s="25" t="s">
        <v>30</v>
      </c>
      <c r="B7" s="25" t="s">
        <v>31</v>
      </c>
      <c r="C7" s="25" t="s">
        <v>29</v>
      </c>
      <c r="D7" s="27">
        <v>1.0</v>
      </c>
      <c r="E7" s="28"/>
      <c r="F7" s="29">
        <v>8.0</v>
      </c>
      <c r="G7" s="30">
        <f t="shared" si="1"/>
        <v>8</v>
      </c>
      <c r="H7" s="30"/>
    </row>
    <row r="8" ht="49.5" customHeight="1">
      <c r="A8" s="25" t="s">
        <v>32</v>
      </c>
      <c r="B8" s="26" t="s">
        <v>33</v>
      </c>
      <c r="C8" s="25" t="s">
        <v>34</v>
      </c>
      <c r="D8" s="31">
        <v>2.0</v>
      </c>
      <c r="E8" s="28"/>
      <c r="F8" s="29">
        <v>4.0</v>
      </c>
      <c r="G8" s="30">
        <f t="shared" si="1"/>
        <v>8</v>
      </c>
      <c r="H8" s="30"/>
    </row>
    <row r="9" ht="49.5" customHeight="1">
      <c r="A9" s="25" t="s">
        <v>35</v>
      </c>
      <c r="B9" s="26" t="s">
        <v>36</v>
      </c>
      <c r="C9" s="25" t="s">
        <v>34</v>
      </c>
      <c r="D9" s="31">
        <v>2.0</v>
      </c>
      <c r="E9" s="28"/>
      <c r="F9" s="29">
        <v>3.8</v>
      </c>
      <c r="G9" s="30">
        <f t="shared" si="1"/>
        <v>7.6</v>
      </c>
      <c r="H9" s="30"/>
    </row>
    <row r="10" ht="49.5" customHeight="1">
      <c r="A10" s="25" t="s">
        <v>37</v>
      </c>
      <c r="B10" s="26" t="s">
        <v>38</v>
      </c>
      <c r="C10" s="25" t="s">
        <v>34</v>
      </c>
      <c r="D10" s="27">
        <v>1.0</v>
      </c>
      <c r="E10" s="28"/>
      <c r="F10" s="29">
        <v>0.34</v>
      </c>
      <c r="G10" s="30">
        <f t="shared" si="1"/>
        <v>0.34</v>
      </c>
      <c r="H10" s="30"/>
    </row>
    <row r="11" ht="49.5" customHeight="1">
      <c r="A11" s="25" t="s">
        <v>39</v>
      </c>
      <c r="B11" s="26" t="s">
        <v>40</v>
      </c>
      <c r="C11" s="25" t="s">
        <v>29</v>
      </c>
      <c r="D11" s="27">
        <v>1.0</v>
      </c>
      <c r="E11" s="28"/>
      <c r="F11" s="29">
        <v>11.0</v>
      </c>
      <c r="G11" s="30">
        <f t="shared" si="1"/>
        <v>11</v>
      </c>
      <c r="H11" s="30"/>
    </row>
    <row r="12" ht="49.5" customHeight="1">
      <c r="A12" s="25" t="s">
        <v>41</v>
      </c>
      <c r="B12" s="25" t="s">
        <v>42</v>
      </c>
      <c r="C12" s="25" t="s">
        <v>43</v>
      </c>
      <c r="D12" s="31">
        <v>2.0</v>
      </c>
      <c r="E12" s="32"/>
      <c r="F12" s="29">
        <v>4.0</v>
      </c>
      <c r="G12" s="30">
        <f t="shared" si="1"/>
        <v>8</v>
      </c>
      <c r="H12" s="30"/>
    </row>
    <row r="13" ht="49.5" hidden="1" customHeight="1">
      <c r="A13" s="33"/>
      <c r="B13" s="33"/>
      <c r="C13" s="33"/>
      <c r="D13" s="34"/>
      <c r="E13" s="35"/>
      <c r="F13" s="36"/>
      <c r="G13" s="30">
        <f t="shared" si="1"/>
        <v>0</v>
      </c>
      <c r="H13" s="30"/>
    </row>
    <row r="14" ht="20.25" customHeight="1">
      <c r="A14" s="37" t="s">
        <v>44</v>
      </c>
      <c r="B14" s="38"/>
      <c r="C14" s="39"/>
      <c r="D14" s="40">
        <f>SUM(D4:D12)</f>
        <v>12</v>
      </c>
      <c r="E14" s="38"/>
      <c r="F14" s="41">
        <f t="shared" ref="F14:G14" si="2">SUM(F4:F12)</f>
        <v>145.14</v>
      </c>
      <c r="G14" s="42">
        <f t="shared" si="2"/>
        <v>156.94</v>
      </c>
      <c r="H14" s="42"/>
    </row>
  </sheetData>
  <conditionalFormatting sqref="E3">
    <cfRule type="containsText" dxfId="4" priority="1" operator="containsText" text="Vertex42.com">
      <formula>NOT(ISERROR(SEARCH(("Vertex42.com"),(E3))))</formula>
    </cfRule>
  </conditionalFormatting>
  <hyperlinks>
    <hyperlink r:id="rId2" ref="B4"/>
    <hyperlink r:id="rId3" ref="B5"/>
    <hyperlink r:id="rId4" ref="B6"/>
    <hyperlink r:id="rId5" ref="B8"/>
    <hyperlink r:id="rId6" ref="B9"/>
    <hyperlink r:id="rId7" ref="B10"/>
    <hyperlink r:id="rId8" ref="B11"/>
  </hyperlinks>
  <printOptions horizontalCentered="1"/>
  <pageMargins bottom="0.25" footer="0.0" header="0.0" left="0.25" right="0.25" top="0.25"/>
  <pageSetup fitToHeight="0" orientation="portrait"/>
  <headerFooter>
    <oddFooter>&amp;LBill of Materials Template © 2019 by Vertex42.com&amp;RPage &amp;P</oddFooter>
  </headerFooter>
  <drawing r:id="rId9"/>
  <legacy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21.38"/>
    <col customWidth="1" min="3" max="3" width="20.25"/>
    <col customWidth="1" min="4" max="4" width="14.63"/>
    <col customWidth="1" min="5" max="5" width="14.5"/>
    <col customWidth="1" min="6" max="8" width="25.25"/>
  </cols>
  <sheetData>
    <row r="1" ht="27.0" customHeight="1">
      <c r="A1" s="12" t="s">
        <v>9</v>
      </c>
      <c r="B1" s="13"/>
      <c r="C1" s="14"/>
      <c r="D1" s="15"/>
      <c r="E1" s="15"/>
      <c r="F1" s="15"/>
      <c r="G1" s="15"/>
      <c r="H1" s="15"/>
    </row>
    <row r="2" ht="15.75" customHeight="1">
      <c r="A2" s="16" t="s">
        <v>11</v>
      </c>
      <c r="B2" s="14"/>
      <c r="C2" s="17"/>
      <c r="D2" s="18"/>
      <c r="E2" s="14"/>
      <c r="F2" s="19" t="s">
        <v>12</v>
      </c>
      <c r="G2" s="19"/>
      <c r="H2" s="19"/>
    </row>
    <row r="3" ht="19.5" customHeight="1">
      <c r="A3" s="20" t="s">
        <v>13</v>
      </c>
      <c r="B3" s="21" t="s">
        <v>14</v>
      </c>
      <c r="C3" s="22" t="s">
        <v>15</v>
      </c>
      <c r="D3" s="23" t="s">
        <v>16</v>
      </c>
      <c r="E3" s="23" t="s">
        <v>17</v>
      </c>
      <c r="F3" s="24" t="s">
        <v>18</v>
      </c>
      <c r="G3" s="24" t="s">
        <v>19</v>
      </c>
      <c r="H3" s="24" t="s">
        <v>20</v>
      </c>
    </row>
    <row r="4" ht="49.5" customHeight="1">
      <c r="A4" s="25" t="s">
        <v>21</v>
      </c>
      <c r="B4" s="26" t="s">
        <v>22</v>
      </c>
      <c r="C4" s="25" t="s">
        <v>23</v>
      </c>
      <c r="D4" s="27">
        <v>1.0</v>
      </c>
      <c r="E4" s="28"/>
      <c r="F4" s="29">
        <v>95.0</v>
      </c>
      <c r="G4" s="30">
        <f> F4*D4</f>
        <v>95</v>
      </c>
      <c r="H4" s="30"/>
    </row>
    <row r="5" ht="49.5" customHeight="1">
      <c r="A5" s="25" t="s">
        <v>24</v>
      </c>
      <c r="B5" s="26" t="s">
        <v>25</v>
      </c>
      <c r="C5" s="25" t="s">
        <v>26</v>
      </c>
      <c r="D5" s="27">
        <v>1.0</v>
      </c>
      <c r="E5" s="28"/>
      <c r="F5" s="29">
        <v>8.0</v>
      </c>
      <c r="G5" s="30">
        <f t="shared" ref="G5:G13" si="1">F5*D5</f>
        <v>8</v>
      </c>
      <c r="H5" s="30"/>
    </row>
    <row r="6" ht="49.5" customHeight="1">
      <c r="A6" s="25" t="s">
        <v>27</v>
      </c>
      <c r="B6" s="26" t="s">
        <v>28</v>
      </c>
      <c r="C6" s="25" t="s">
        <v>29</v>
      </c>
      <c r="D6" s="31">
        <v>1.0</v>
      </c>
      <c r="E6" s="28"/>
      <c r="F6" s="29">
        <v>11.0</v>
      </c>
      <c r="G6" s="30">
        <f t="shared" si="1"/>
        <v>11</v>
      </c>
      <c r="H6" s="30"/>
    </row>
    <row r="7" ht="49.5" customHeight="1">
      <c r="A7" s="25" t="s">
        <v>30</v>
      </c>
      <c r="B7" s="25" t="s">
        <v>31</v>
      </c>
      <c r="C7" s="25" t="s">
        <v>29</v>
      </c>
      <c r="D7" s="27">
        <v>1.0</v>
      </c>
      <c r="E7" s="28"/>
      <c r="F7" s="29">
        <v>8.0</v>
      </c>
      <c r="G7" s="30">
        <f t="shared" si="1"/>
        <v>8</v>
      </c>
      <c r="H7" s="30"/>
    </row>
    <row r="8" ht="49.5" customHeight="1">
      <c r="A8" s="25" t="s">
        <v>32</v>
      </c>
      <c r="B8" s="26" t="s">
        <v>33</v>
      </c>
      <c r="C8" s="25" t="s">
        <v>34</v>
      </c>
      <c r="D8" s="31">
        <v>2.0</v>
      </c>
      <c r="E8" s="28"/>
      <c r="F8" s="29">
        <v>4.0</v>
      </c>
      <c r="G8" s="30">
        <f t="shared" si="1"/>
        <v>8</v>
      </c>
      <c r="H8" s="30"/>
    </row>
    <row r="9" ht="49.5" customHeight="1">
      <c r="A9" s="25" t="s">
        <v>35</v>
      </c>
      <c r="B9" s="26" t="s">
        <v>36</v>
      </c>
      <c r="C9" s="25" t="s">
        <v>34</v>
      </c>
      <c r="D9" s="31">
        <v>2.0</v>
      </c>
      <c r="E9" s="28"/>
      <c r="F9" s="29">
        <v>3.8</v>
      </c>
      <c r="G9" s="30">
        <f t="shared" si="1"/>
        <v>7.6</v>
      </c>
      <c r="H9" s="30"/>
    </row>
    <row r="10" ht="49.5" customHeight="1">
      <c r="A10" s="25" t="s">
        <v>37</v>
      </c>
      <c r="B10" s="26" t="s">
        <v>38</v>
      </c>
      <c r="C10" s="25" t="s">
        <v>34</v>
      </c>
      <c r="D10" s="27">
        <v>1.0</v>
      </c>
      <c r="E10" s="28"/>
      <c r="F10" s="29">
        <v>0.34</v>
      </c>
      <c r="G10" s="30">
        <f t="shared" si="1"/>
        <v>0.34</v>
      </c>
      <c r="H10" s="30"/>
    </row>
    <row r="11" ht="49.5" customHeight="1">
      <c r="A11" s="25" t="s">
        <v>39</v>
      </c>
      <c r="B11" s="26" t="s">
        <v>40</v>
      </c>
      <c r="C11" s="25" t="s">
        <v>29</v>
      </c>
      <c r="D11" s="27">
        <v>1.0</v>
      </c>
      <c r="E11" s="28"/>
      <c r="F11" s="29">
        <v>11.0</v>
      </c>
      <c r="G11" s="30">
        <f t="shared" si="1"/>
        <v>11</v>
      </c>
      <c r="H11" s="30"/>
    </row>
    <row r="12" ht="49.5" customHeight="1">
      <c r="A12" s="25" t="s">
        <v>41</v>
      </c>
      <c r="B12" s="25" t="s">
        <v>42</v>
      </c>
      <c r="C12" s="25" t="s">
        <v>43</v>
      </c>
      <c r="D12" s="31">
        <v>2.0</v>
      </c>
      <c r="E12" s="32"/>
      <c r="F12" s="29">
        <v>4.0</v>
      </c>
      <c r="G12" s="30">
        <f t="shared" si="1"/>
        <v>8</v>
      </c>
      <c r="H12" s="30"/>
    </row>
    <row r="13" ht="49.5" hidden="1" customHeight="1">
      <c r="A13" s="33"/>
      <c r="B13" s="33"/>
      <c r="C13" s="33"/>
      <c r="D13" s="34"/>
      <c r="E13" s="35"/>
      <c r="F13" s="36"/>
      <c r="G13" s="30">
        <f t="shared" si="1"/>
        <v>0</v>
      </c>
      <c r="H13" s="30"/>
    </row>
    <row r="14" ht="20.25" customHeight="1">
      <c r="A14" s="37" t="s">
        <v>44</v>
      </c>
      <c r="B14" s="38"/>
      <c r="C14" s="39"/>
      <c r="D14" s="40">
        <f>SUM(D4:D12)</f>
        <v>12</v>
      </c>
      <c r="E14" s="38"/>
      <c r="F14" s="41">
        <f t="shared" ref="F14:G14" si="2">SUM(F4:F12)</f>
        <v>145.14</v>
      </c>
      <c r="G14" s="42">
        <f t="shared" si="2"/>
        <v>156.94</v>
      </c>
      <c r="H14" s="42"/>
    </row>
  </sheetData>
  <conditionalFormatting sqref="E3">
    <cfRule type="containsText" dxfId="4" priority="1" operator="containsText" text="Vertex42.com">
      <formula>NOT(ISERROR(SEARCH(("Vertex42.com"),(E3))))</formula>
    </cfRule>
  </conditionalFormatting>
  <hyperlinks>
    <hyperlink r:id="rId2" ref="B4"/>
    <hyperlink r:id="rId3" ref="B5"/>
    <hyperlink r:id="rId4" ref="B6"/>
    <hyperlink r:id="rId5" ref="B8"/>
    <hyperlink r:id="rId6" ref="B9"/>
    <hyperlink r:id="rId7" ref="B10"/>
    <hyperlink r:id="rId8" ref="B11"/>
  </hyperlinks>
  <printOptions horizontalCentered="1"/>
  <pageMargins bottom="0.25" footer="0.0" header="0.0" left="0.25" right="0.25" top="0.25"/>
  <pageSetup fitToHeight="0" orientation="portrait"/>
  <headerFooter>
    <oddFooter>&amp;LBill of Materials Template © 2019 by Vertex42.com&amp;RPage &amp;P</oddFooter>
  </headerFooter>
  <drawing r:id="rId9"/>
  <legacy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63.13"/>
    <col customWidth="1" min="3" max="3" width="14.88"/>
  </cols>
  <sheetData>
    <row r="1" ht="31.5" customHeight="1">
      <c r="A1" s="1"/>
      <c r="B1" s="2" t="s">
        <v>0</v>
      </c>
      <c r="C1" s="1"/>
    </row>
    <row r="2">
      <c r="A2" s="3"/>
      <c r="B2" s="4"/>
      <c r="C2" s="5"/>
    </row>
    <row r="3">
      <c r="A3" s="3"/>
      <c r="B3" s="6" t="s">
        <v>1</v>
      </c>
      <c r="C3" s="5"/>
    </row>
    <row r="4" ht="14.25" customHeight="1">
      <c r="A4" s="3"/>
      <c r="B4" s="7" t="s">
        <v>2</v>
      </c>
      <c r="C4" s="5"/>
    </row>
    <row r="5">
      <c r="A5" s="3"/>
      <c r="B5" s="4"/>
      <c r="C5" s="5"/>
    </row>
    <row r="6" ht="15.75" customHeight="1">
      <c r="A6" s="3"/>
      <c r="B6" s="8" t="s">
        <v>3</v>
      </c>
      <c r="C6" s="5"/>
    </row>
    <row r="7">
      <c r="A7" s="3"/>
      <c r="B7" s="4"/>
      <c r="C7" s="5"/>
    </row>
    <row r="8" ht="30.0" customHeight="1">
      <c r="A8" s="3"/>
      <c r="B8" s="9" t="s">
        <v>4</v>
      </c>
      <c r="C8" s="5"/>
    </row>
    <row r="9">
      <c r="A9" s="3"/>
      <c r="B9" s="4"/>
      <c r="C9" s="5"/>
    </row>
    <row r="10" ht="30.0" customHeight="1">
      <c r="A10" s="3"/>
      <c r="B10" s="4" t="s">
        <v>5</v>
      </c>
      <c r="C10" s="5"/>
    </row>
    <row r="11">
      <c r="A11" s="3"/>
      <c r="B11" s="4"/>
      <c r="C11" s="5"/>
    </row>
    <row r="12" ht="30.0" customHeight="1">
      <c r="A12" s="3"/>
      <c r="B12" s="4" t="s">
        <v>6</v>
      </c>
      <c r="C12" s="5"/>
    </row>
    <row r="13">
      <c r="A13" s="3"/>
      <c r="B13" s="4"/>
      <c r="C13" s="5"/>
    </row>
    <row r="14">
      <c r="A14" s="3"/>
      <c r="B14" s="8" t="s">
        <v>7</v>
      </c>
      <c r="C14" s="5"/>
    </row>
    <row r="15">
      <c r="A15" s="3"/>
      <c r="B15" s="10" t="s">
        <v>8</v>
      </c>
      <c r="C15" s="5"/>
    </row>
    <row r="16">
      <c r="A16" s="3"/>
      <c r="B16" s="11"/>
      <c r="C16" s="5"/>
    </row>
    <row r="17">
      <c r="A17" s="3"/>
      <c r="B17" s="9" t="s">
        <v>10</v>
      </c>
      <c r="C17" s="5"/>
    </row>
    <row r="18" ht="14.25" customHeight="1">
      <c r="A18" s="3"/>
      <c r="B18" s="3"/>
      <c r="C18" s="5"/>
    </row>
    <row r="19" ht="14.25" customHeight="1">
      <c r="A19" s="3"/>
      <c r="B19" s="3"/>
      <c r="C19" s="5"/>
    </row>
    <row r="20" ht="14.25" customHeight="1">
      <c r="A20" s="3"/>
      <c r="B20" s="3"/>
      <c r="C20" s="5"/>
    </row>
  </sheetData>
  <hyperlinks>
    <hyperlink r:id="rId1" ref="B4"/>
    <hyperlink r:id="rId2" ref="B15"/>
  </hyperlinks>
  <drawing r:id="rId3"/>
</worksheet>
</file>